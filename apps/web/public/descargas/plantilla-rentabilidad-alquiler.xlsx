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f3c4e077e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tabilidad" sheetId="1" r:id="R5e95cb6dcada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.00 &quot;€&quot;;[Red](#,##0.00 &quot;€&quot;)"/>
    <x:numFmt numFmtId="202" formatCode="#,##0.00"/>
    <x:numFmt numFmtId="203" formatCode="0.0"/>
  </x:numFmts>
  <x:fonts count="9">
    <x:font>
      <x:sz val="11"/>
      <x:name val="Carlito"/>
    </x:font>
    <x:font>
      <x:sz val="11"/>
      <x:color rgb="FF172629"/>
      <x:name val="Arial"/>
    </x:font>
    <x:font>
      <x:b/>
      <x:sz val="16"/>
      <x:color rgb="FF123C36"/>
      <x:name val="Arial"/>
    </x:font>
    <x:font>
      <x:i/>
      <x:sz val="10"/>
      <x:color rgb="FF5B6B6D"/>
      <x:name val="Arial"/>
    </x:font>
    <x:font>
      <x:b/>
      <x:sz val="11"/>
      <x:color rgb="FF123C36"/>
      <x:name val="Arial"/>
    </x:font>
    <x:font>
      <x:b/>
      <x:sz val="13"/>
      <x:color rgb="FF123C36"/>
      <x:name val="Arial"/>
    </x:font>
    <x:font>
      <x:b/>
      <x:sz val="11"/>
      <x:color rgb="FFFFFFFF"/>
      <x:name val="Arial"/>
    </x:font>
    <x:font>
      <x:sz val="11"/>
      <x:color rgb="FF175BB5"/>
      <x:name val="Arial"/>
    </x:font>
    <x:font>
      <x:sz val="10"/>
      <x:color rgb="FF5B6B6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3EA"/>
      </x:patternFill>
    </x:fill>
    <x:fill>
      <x:patternFill patternType="solid">
        <x:fgColor rgb="FF123C36"/>
      </x:patternFill>
    </x:fill>
    <x:fill>
      <x:patternFill patternType="solid">
        <x:fgColor rgb="FFFFF1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201" fontId="5" fillId="2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3" fontId="7" fillId="4" borderId="0" xfId="0" applyNumberFormat="1" applyFont="1" applyFill="1" applyBorder="1"/>
    <x:xf numFmtId="0" fontId="8" fillId="0" borderId="0" xfId="0" applyNumberFormat="1" applyFont="1" applyFill="1" applyBorder="1"/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2" borderId="0" xfId="0" applyNumberFormat="1" applyFont="1" applyFill="1" applyBorder="1"/>
    <x:xf numFmtId="201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2a8b5ef8d4433" /><Relationship Type="http://schemas.openxmlformats.org/officeDocument/2006/relationships/theme" Target="/xl/theme/theme1.xml" Id="R9432b93294514dc9" /><Relationship Type="http://schemas.openxmlformats.org/officeDocument/2006/relationships/sharedStrings" Target="/xl/sharedStrings.xml" Id="Rde1f0328ded3430e" /><Relationship Type="http://schemas.openxmlformats.org/officeDocument/2006/relationships/worksheet" Target="/xl/worksheets/sheet1.xml" Id="R5e95cb6dcada48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C36"/>
  </x:sheetPr>
  <x:sheetViews>
    <x:sheetView showGridLines="0" workbookViewId="0"/>
  </x:sheetViews>
  <x:sheetFormatPr defaultRowHeight="15"/>
  <x:cols>
    <x:col min="1" max="1" width="38" hidden="0" customWidth="1"/>
    <x:col min="2" max="2" width="23" hidden="0" customWidth="1"/>
    <x:col min="3" max="3" width="3" hidden="0" customWidth="1"/>
    <x:col min="4" max="4" width="58" hidden="0" customWidth="1"/>
  </x:cols>
  <x:sheetData>
    <x:row r="2">
      <x:c r="A2" s="2" t="str">
        <x:v>Rentabilidad de alquiler</x:v>
      </x:c>
      <x:c r="B2" s="1"/>
      <x:c r="C2" s="1"/>
      <x:c r="D2" s="1"/>
    </x:row>
    <x:row r="3">
      <x:c r="A3" s="3" t="str">
        <x:v>Resultado anual · vivienda en España · antes de IRPF y financiación</x:v>
      </x:c>
      <x:c r="B3" s="3"/>
      <x:c r="C3" s="3"/>
      <x:c r="D3" s="3"/>
    </x:row>
    <x:row r="4">
      <x:c r="A4" s="5" t="str">
        <x:v>Rentabilidad bruta</x:v>
      </x:c>
      <x:c r="B4" s="7" t="n">
        <x:f>IF($B$20="OK",B24/B23,"")</x:f>
        <x:v>0.05454545454545454</x:v>
      </x:c>
      <x:c r="C4" s="1"/>
      <x:c r="D4" s="1"/>
    </x:row>
    <x:row r="5">
      <x:c r="A5" s="5" t="str">
        <x:v>Rentabilidad neta estimada</x:v>
      </x:c>
      <x:c r="B5" s="7" t="n">
        <x:f>IF($B$20="OK",B27/B23,"")</x:f>
        <x:v>0.04090909090909091</x:v>
      </x:c>
      <x:c r="C5" s="1"/>
      <x:c r="D5" s="1"/>
    </x:row>
    <x:row r="6">
      <x:c r="A6" s="5" t="str">
        <x:v>Ingreso después de gastos al año</x:v>
      </x:c>
      <x:c r="B6" s="8" t="n">
        <x:f>IF($B$20="OK",B27,"")</x:f>
        <x:v>9000</x:v>
      </x:c>
      <x:c r="C6" s="1"/>
      <x:c r="D6" s="1"/>
    </x:row>
    <x:row r="7">
      <x:c r="A7" s="1"/>
      <x:c r="B7" s="1"/>
      <x:c r="C7" s="1"/>
      <x:c r="D7" s="1"/>
    </x:row>
    <x:row r="8">
      <x:c r="A8" s="1"/>
      <x:c r="B8" s="1"/>
      <x:c r="C8" s="1"/>
      <x:c r="D8" s="1"/>
    </x:row>
    <x:row r="9">
      <x:c r="A9" s="10" t="str">
        <x:v>TUS DATOS · cambia las celdas amarillas</x:v>
      </x:c>
      <x:c r="B9" s="10"/>
      <x:c r="C9" s="1"/>
      <x:c r="D9" s="1"/>
    </x:row>
    <x:row r="10">
      <x:c r="A10" s="1"/>
      <x:c r="B10" s="1"/>
      <x:c r="C10" s="1"/>
      <x:c r="D10" s="1"/>
    </x:row>
    <x:row r="11">
      <x:c r="A11" s="1" t="str">
        <x:v>Precio de compra</x:v>
      </x:c>
      <x:c r="B11" s="13" t="n">
        <x:v>200000</x:v>
      </x:c>
      <x:c r="C11" s="1"/>
      <x:c r="D11" s="15" t="str">
        <x:v>Importe de adquisición de la vivienda.</x:v>
      </x:c>
    </x:row>
    <x:row r="12">
      <x:c r="A12" s="1" t="str">
        <x:v>Gastos iniciales de compra</x:v>
      </x:c>
      <x:c r="B12" s="13" t="n">
        <x:v>20000</x:v>
      </x:c>
      <x:c r="C12" s="1"/>
      <x:c r="D12" s="15" t="str">
        <x:v>Impuestos, notaría, registro y reforma inicial, si procede.</x:v>
      </x:c>
    </x:row>
    <x:row r="13">
      <x:c r="A13" s="1" t="str">
        <x:v>Alquiler mensual</x:v>
      </x:c>
      <x:c r="B13" s="13" t="n">
        <x:v>1000</x:v>
      </x:c>
      <x:c r="C13" s="1"/>
      <x:c r="D13" s="15" t="str">
        <x:v>Renta mensual si hay inquilino.</x:v>
      </x:c>
    </x:row>
    <x:row r="14">
      <x:c r="A14" s="1" t="str">
        <x:v>Meses vacíos al año</x:v>
      </x:c>
      <x:c r="B14" s="14" t="n">
        <x:v>1</x:v>
      </x:c>
      <x:c r="C14" s="1"/>
      <x:c r="D14" s="15" t="str">
        <x:v>Entre 0 y 12; admite fracciones.</x:v>
      </x:c>
    </x:row>
    <x:row r="15">
      <x:c r="A15" s="1" t="str">
        <x:v>IBI anual</x:v>
      </x:c>
      <x:c r="B15" s="13" t="n">
        <x:v>500</x:v>
      </x:c>
      <x:c r="C15" s="1"/>
      <x:c r="D15" s="15" t="str">
        <x:v>Gasto anual.</x:v>
      </x:c>
    </x:row>
    <x:row r="16">
      <x:c r="A16" s="1" t="str">
        <x:v>Comunidad anual</x:v>
      </x:c>
      <x:c r="B16" s="13" t="n">
        <x:v>600</x:v>
      </x:c>
      <x:c r="C16" s="1"/>
      <x:c r="D16" s="15" t="str">
        <x:v>Gasto anual.</x:v>
      </x:c>
    </x:row>
    <x:row r="17">
      <x:c r="A17" s="1" t="str">
        <x:v>Seguros anuales</x:v>
      </x:c>
      <x:c r="B17" s="13" t="n">
        <x:v>300</x:v>
      </x:c>
      <x:c r="C17" s="1"/>
      <x:c r="D17" s="15" t="str">
        <x:v>Gasto anual.</x:v>
      </x:c>
    </x:row>
    <x:row r="18">
      <x:c r="A18" s="1" t="str">
        <x:v>Mantenimiento anual</x:v>
      </x:c>
      <x:c r="B18" s="13" t="n">
        <x:v>600</x:v>
      </x:c>
      <x:c r="C18" s="1"/>
      <x:c r="D18" s="15" t="str">
        <x:v>Gasto anual.</x:v>
      </x:c>
    </x:row>
    <x:row r="19">
      <x:c r="A19" s="1" t="str">
        <x:v>Gestión y otros gastos anuales</x:v>
      </x:c>
      <x:c r="B19" s="13" t="n">
        <x:v>0</x:v>
      </x:c>
      <x:c r="C19" s="1"/>
      <x:c r="D19" s="15" t="str">
        <x:v>Gasto anual. Evita duplicados.</x:v>
      </x:c>
    </x:row>
    <x:row r="20">
      <x:c r="A20" s="1" t="str">
        <x:v>Estado de los datos</x:v>
      </x:c>
      <x:c r="B20" s="16" t="str">
        <x:f>IF(OR(COUNT(B11:B19)&lt;&gt;9,B11&lt;=0,MIN(B11:B19)&lt;0,B14&gt;12),"Revisa los datos","OK")</x:f>
        <x:v>OK</x:v>
      </x:c>
      <x:c r="C20" s="1"/>
      <x:c r="D20" s="1"/>
    </x:row>
    <x:row r="21">
      <x:c r="A21" s="1"/>
      <x:c r="B21" s="1"/>
      <x:c r="C21" s="1"/>
      <x:c r="D21" s="1"/>
    </x:row>
    <x:row r="22">
      <x:c r="A22" s="10" t="str">
        <x:v>DESGLOSE DEL CÁLCULO</x:v>
      </x:c>
      <x:c r="B22" s="10"/>
      <x:c r="C22" s="1"/>
      <x:c r="D22" s="1"/>
    </x:row>
    <x:row r="23">
      <x:c r="A23" s="1" t="str">
        <x:v>Capital invertido</x:v>
      </x:c>
      <x:c r="B23" s="17" t="n">
        <x:f>IF($B$20="OK",B11+B12,"")</x:f>
        <x:v>220000</x:v>
      </x:c>
      <x:c r="C23" s="1"/>
      <x:c r="D23" s="1"/>
    </x:row>
    <x:row r="24">
      <x:c r="A24" s="1" t="str">
        <x:v>Alquiler anual potencial</x:v>
      </x:c>
      <x:c r="B24" s="17" t="n">
        <x:f>IF($B$20="OK",B13*12,"")</x:f>
        <x:v>12000</x:v>
      </x:c>
      <x:c r="C24" s="1"/>
      <x:c r="D24" s="1"/>
    </x:row>
    <x:row r="25">
      <x:c r="A25" s="1" t="str">
        <x:v>Ingreso tras meses vacíos</x:v>
      </x:c>
      <x:c r="B25" s="17" t="n">
        <x:f>IF($B$20="OK",B13*(12-B14),"")</x:f>
        <x:v>11000</x:v>
      </x:c>
      <x:c r="C25" s="1"/>
      <x:c r="D25" s="1"/>
    </x:row>
    <x:row r="26">
      <x:c r="A26" s="1" t="str">
        <x:v>Gastos anuales</x:v>
      </x:c>
      <x:c r="B26" s="17" t="n">
        <x:f>IF($B$20="OK",SUM(B15:B19),"")</x:f>
        <x:v>2000</x:v>
      </x:c>
      <x:c r="C26" s="1"/>
      <x:c r="D26" s="1"/>
    </x:row>
    <x:row r="27">
      <x:c r="A27" s="5" t="str">
        <x:v>Ingreso después de gastos</x:v>
      </x:c>
      <x:c r="B27" s="19" t="n">
        <x:f>IF($B$20="OK",B25-B26,"")</x:f>
        <x:v>9000</x:v>
      </x:c>
      <x:c r="C27" s="1"/>
      <x:c r="D27" s="1"/>
    </x:row>
    <x:row r="28">
      <x:c r="A28" s="1"/>
      <x:c r="B28" s="1"/>
      <x:c r="C28" s="1"/>
      <x:c r="D28" s="1"/>
    </x:row>
    <x:row r="29">
      <x:c r="A29" s="1" t="str">
        <x:v>Método y límites</x:v>
      </x:c>
      <x:c r="B29" s="1"/>
      <x:c r="C29" s="1"/>
      <x:c r="D29" s="1"/>
    </x:row>
    <x:row r="30">
      <x:c r="A30" s="15" t="str">
        <x:v>Bruta = 12 alquileres ÷ capital invertido. Neta = (alquiler cobrado − gastos anuales) ÷ capital invertido.</x:v>
      </x:c>
      <x:c r="B30" s="15"/>
      <x:c r="C30" s="15"/>
      <x:c r="D30" s="15"/>
    </x:row>
    <x:row r="31">
      <x:c r="A31" s="15" t="str">
        <x:v>No incluye IRPF, hipoteca, revalorización, derramas ni costes de venta. Estimación para comparar escenarios.</x:v>
      </x:c>
      <x:c r="B31" s="15"/>
      <x:c r="C31" s="15"/>
      <x:c r="D31" s="15"/>
    </x:row>
    <x:row r="32">
      <x:c r="A32" s="15" t="str">
        <x:v>Mismo método que tools.heykershell.com/rentabilidad-alquiler. Revisión: 07-10-2026; revisar cada trimestre.</x:v>
      </x:c>
      <x:c r="B32" s="15"/>
      <x:c r="C32" s="15"/>
      <x:c r="D32" s="15"/>
    </x:row>
  </x:sheetData>
  <x:pageMargins left="0.7" right="0.7" top="0.75" bottom="0.75" header="0.3" footer="0.3"/>
</x:worksheet>
</file>